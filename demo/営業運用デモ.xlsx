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・設定" sheetId="1" state="visible" r:id="rId1"/>
    <sheet xmlns:r="http://schemas.openxmlformats.org/officeDocument/2006/relationships" name="案件管理" sheetId="2" state="visible" r:id="rId2"/>
    <sheet xmlns:r="http://schemas.openxmlformats.org/officeDocument/2006/relationships" name="応募者一覧" sheetId="3" state="visible" r:id="rId3"/>
    <sheet xmlns:r="http://schemas.openxmlformats.org/officeDocument/2006/relationships" name="人材・空き状況" sheetId="4" state="visible" r:id="rId4"/>
    <sheet xmlns:r="http://schemas.openxmlformats.org/officeDocument/2006/relationships" name="①案件条件確認" sheetId="5" state="visible" r:id="rId5"/>
    <sheet xmlns:r="http://schemas.openxmlformats.org/officeDocument/2006/relationships" name="④進捗記録" sheetId="6" state="visible" r:id="rId6"/>
    <sheet xmlns:r="http://schemas.openxmlformats.org/officeDocument/2006/relationships" name="⑤納品・支払書式" sheetId="7" state="visible" r:id="rId7"/>
    <sheet xmlns:r="http://schemas.openxmlformats.org/officeDocument/2006/relationships" name="②⑥フォーム質問案" sheetId="8" state="visible" r:id="rId8"/>
  </sheets>
  <definedNames>
    <definedName name="_xlnm._FilterDatabase" localSheetId="0" hidden="1">'使い方・設定'!$A$1:$B$11</definedName>
    <definedName name="_xlnm._FilterDatabase" localSheetId="1" hidden="1">'案件管理'!$A$1:$T$8</definedName>
    <definedName name="_xlnm._FilterDatabase" localSheetId="2" hidden="1">'応募者一覧'!$A$1:$K$8</definedName>
    <definedName name="_xlnm._FilterDatabase" localSheetId="3" hidden="1">'人材・空き状況'!$A$1:$H$5</definedName>
    <definedName name="_xlnm._FilterDatabase" localSheetId="4" hidden="1">'①案件条件確認'!$A$1:$L$8</definedName>
    <definedName name="_xlnm._FilterDatabase" localSheetId="5" hidden="1">'④進捗記録'!$A$1:$I$8</definedName>
    <definedName name="_xlnm._FilterDatabase" localSheetId="6" hidden="1">'⑤納品・支払書式'!$A$1:$N$8</definedName>
    <definedName name="_xlnm._FilterDatabase" localSheetId="7" hidden="1">'②⑥フォーム質問案'!$A$1:$F$14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&quot;円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292B27"/>
      <sz val="11"/>
    </font>
  </fonts>
  <fills count="3">
    <fill>
      <patternFill/>
    </fill>
    <fill>
      <patternFill patternType="gray125"/>
    </fill>
    <fill>
      <patternFill patternType="solid">
        <fgColor rgb="00515F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E5DF"/>
        </patternFill>
      </fill>
    </dxf>
    <dxf>
      <fill>
        <patternFill patternType="solid">
          <fgColor rgb="00FFE5DC"/>
        </patternFill>
      </fill>
    </dxf>
    <dxf>
      <fill>
        <patternFill patternType="solid">
          <fgColor rgb="00FFF4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2" customHeight="1">
      <c r="A1" s="1" t="inlineStr">
        <is>
          <t>項目</t>
        </is>
      </c>
      <c r="B1" s="1" t="inlineStr">
        <is>
          <t>内容</t>
        </is>
      </c>
    </row>
    <row r="2" ht="48" customHeight="1">
      <c r="A2" s="2" t="inlineStr">
        <is>
          <t>基準日</t>
        </is>
      </c>
      <c r="B2" s="5" t="n">
        <v>46305</v>
      </c>
    </row>
    <row r="3" ht="48" customHeight="1">
      <c r="A3" s="2" t="inlineStr">
        <is>
          <t>用途</t>
        </is>
      </c>
      <c r="B3" s="2" t="inlineStr">
        <is>
          <t>架空の7案件で営業運用を確認するデモ。実際の案件や金額ではありません。</t>
        </is>
      </c>
    </row>
    <row r="4" ht="48" customHeight="1">
      <c r="A4" s="2" t="inlineStr">
        <is>
          <t>運用</t>
        </is>
      </c>
      <c r="B4" s="2" t="inlineStr">
        <is>
          <t>入力用の進行段階を変更。終了条件4項目が揃うと表示状況は自動で完了。</t>
        </is>
      </c>
    </row>
    <row r="5" ht="48" customHeight="1">
      <c r="A5" s="2" t="inlineStr">
        <is>
          <t>色分け</t>
        </is>
      </c>
      <c r="B5" s="2" t="inlineStr">
        <is>
          <t>次回確認日が基準日より前なら赤、3日以内なら黄、終了条件が揃えば灰。</t>
        </is>
      </c>
    </row>
    <row r="6" ht="48" customHeight="1">
      <c r="A6" s="2" t="inlineStr">
        <is>
          <t>日付</t>
        </is>
      </c>
      <c r="B6" s="2" t="inlineStr">
        <is>
          <t>基準日は固定。実運用ではB2を更新するかTODAY()にすることを相談。</t>
        </is>
      </c>
    </row>
    <row r="7" ht="48" customHeight="1">
      <c r="A7" s="2" t="inlineStr">
        <is>
          <t>入力</t>
        </is>
      </c>
      <c r="B7" s="2" t="inlineStr">
        <is>
          <t>契約主体・報酬・検収・支払条件は今後相談。予算と人材報酬は別です。</t>
        </is>
      </c>
    </row>
    <row r="8" ht="48" customHeight="1">
      <c r="A8" s="2" t="inlineStr">
        <is>
          <t>連携</t>
        </is>
      </c>
      <c r="B8" s="2" t="inlineStr">
        <is>
          <t>Googleフォームの回答連携・自動通知・送金は未設定。回答後の稼働状況更新は別途必要。</t>
        </is>
      </c>
    </row>
    <row r="9" ht="48" customHeight="1">
      <c r="A9" s="2" t="inlineStr">
        <is>
          <t>Googleへの取り込み</t>
        </is>
      </c>
      <c r="B9" s="2" t="inlineStr">
        <is>
          <t>Googleドライブから本ファイルを開き、Googleスプレッドシートとして保存。数式・条件付き書式・入力規則を確認。</t>
        </is>
      </c>
    </row>
    <row r="10" ht="48" customHeight="1">
      <c r="A10" s="2" t="inlineStr">
        <is>
          <t>個人情報</t>
        </is>
      </c>
      <c r="B10" s="2" t="inlineStr">
        <is>
          <t>共有範囲は役割ごとに相談。デモに実名・連絡先は記入しない。</t>
        </is>
      </c>
    </row>
    <row r="11" ht="48" customHeight="1">
      <c r="A11" s="2" t="inlineStr">
        <is>
          <t>ID</t>
        </is>
      </c>
      <c r="B11" s="2" t="inlineStr">
        <is>
          <t>案件IDで案件・応募・進捗・支払の各シートを照合。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9.5" customWidth="1" min="3" max="3"/>
    <col width="17" customWidth="1" min="4" max="4"/>
    <col width="17" customWidth="1" min="5" max="5"/>
    <col width="19.5" customWidth="1" min="6" max="6"/>
    <col width="17" customWidth="1" min="7" max="7"/>
    <col width="17" customWidth="1" min="8" max="8"/>
    <col width="24.7" customWidth="1" min="9" max="9"/>
    <col width="24.7" customWidth="1" min="10" max="10"/>
    <col width="24.7" customWidth="1" min="11" max="11"/>
    <col width="24.7" customWidth="1" min="12" max="12"/>
    <col width="17" customWidth="1" min="13" max="13"/>
    <col width="24.7" customWidth="1" min="14" max="14"/>
    <col width="24.7" customWidth="1" min="15" max="15"/>
    <col width="17" customWidth="1" min="16" max="16"/>
    <col width="24.7" customWidth="1" min="17" max="17"/>
    <col width="24.7" customWidth="1" min="18" max="18"/>
    <col width="24.7" customWidth="1" min="19" max="19"/>
    <col width="39" customWidth="1" min="20" max="20"/>
  </cols>
  <sheetData>
    <row r="1" ht="32" customHeight="1">
      <c r="A1" s="1" t="inlineStr">
        <is>
          <t>案件ID</t>
        </is>
      </c>
      <c r="B1" s="1" t="inlineStr">
        <is>
          <t>クライアント</t>
        </is>
      </c>
      <c r="C1" s="1" t="inlineStr">
        <is>
          <t>案件名</t>
        </is>
      </c>
      <c r="D1" s="1" t="inlineStr">
        <is>
          <t>進行段階（入力）</t>
        </is>
      </c>
      <c r="E1" s="1" t="inlineStr">
        <is>
          <t>表示状況（自動）</t>
        </is>
      </c>
      <c r="F1" s="1" t="inlineStr">
        <is>
          <t>詳細</t>
        </is>
      </c>
      <c r="G1" s="1" t="inlineStr">
        <is>
          <t>担当者</t>
        </is>
      </c>
      <c r="H1" s="1" t="inlineStr">
        <is>
          <t>案件予算（架空）</t>
        </is>
      </c>
      <c r="I1" s="1" t="inlineStr">
        <is>
          <t>募集締切</t>
        </is>
      </c>
      <c r="J1" s="1" t="inlineStr">
        <is>
          <t>納期</t>
        </is>
      </c>
      <c r="K1" s="1" t="inlineStr">
        <is>
          <t>次回確認日</t>
        </is>
      </c>
      <c r="L1" s="1" t="inlineStr">
        <is>
          <t>次の対応</t>
        </is>
      </c>
      <c r="M1" s="1" t="inlineStr">
        <is>
          <t>契約</t>
        </is>
      </c>
      <c r="N1" s="1" t="inlineStr">
        <is>
          <t>納品日</t>
        </is>
      </c>
      <c r="O1" s="1" t="inlineStr">
        <is>
          <t>検収日</t>
        </is>
      </c>
      <c r="P1" s="1" t="inlineStr">
        <is>
          <t>請求書</t>
        </is>
      </c>
      <c r="Q1" s="1" t="inlineStr">
        <is>
          <t>支払期日</t>
        </is>
      </c>
      <c r="R1" s="1" t="inlineStr">
        <is>
          <t>入金日</t>
        </is>
      </c>
      <c r="S1" s="1" t="inlineStr">
        <is>
          <t>人材支払日</t>
        </is>
      </c>
      <c r="T1" s="1" t="inlineStr">
        <is>
          <t>備考</t>
        </is>
      </c>
    </row>
    <row r="2" ht="48" customHeight="1">
      <c r="A2" s="2" t="inlineStr">
        <is>
          <t>DEMO-001</t>
        </is>
      </c>
      <c r="B2" s="2" t="inlineStr">
        <is>
          <t>架空クライアントA</t>
        </is>
      </c>
      <c r="C2" s="2" t="inlineStr">
        <is>
          <t>社内研修資料の図解化</t>
        </is>
      </c>
      <c r="D2" s="2" t="inlineStr">
        <is>
          <t>募集前</t>
        </is>
      </c>
      <c r="E2" s="2">
        <f>IF(AND(N2&lt;&gt;"",O2&lt;&gt;"",R2&lt;&gt;"",S2&lt;&gt;""),"完了",D2)</f>
        <v/>
      </c>
      <c r="F2" s="2" t="inlineStr">
        <is>
          <t>依頼内容を整理中</t>
        </is>
      </c>
      <c r="G2" s="2" t="inlineStr">
        <is>
          <t>未定</t>
        </is>
      </c>
      <c r="H2" s="6" t="n">
        <v>50000</v>
      </c>
      <c r="I2" s="5" t="n">
        <v>46311</v>
      </c>
      <c r="J2" s="5" t="n">
        <v>46332</v>
      </c>
      <c r="K2" s="5" t="n">
        <v>46307</v>
      </c>
      <c r="L2" s="2" t="inlineStr">
        <is>
          <t>予算・成果物の範囲をクライアントに確認</t>
        </is>
      </c>
      <c r="M2" s="2" t="inlineStr">
        <is>
          <t>未締結</t>
        </is>
      </c>
      <c r="N2" s="5" t="n"/>
      <c r="O2" s="5" t="n"/>
      <c r="P2" s="2" t="inlineStr">
        <is>
          <t>未発行</t>
        </is>
      </c>
      <c r="Q2" s="5" t="n"/>
      <c r="R2" s="5" t="n"/>
      <c r="S2" s="5" t="n"/>
      <c r="T2" s="2" t="inlineStr">
        <is>
          <t>条件が確定するまで募集を開始しない。</t>
        </is>
      </c>
    </row>
    <row r="3" ht="48" customHeight="1">
      <c r="A3" s="2" t="inlineStr">
        <is>
          <t>DEMO-002</t>
        </is>
      </c>
      <c r="B3" s="2" t="inlineStr">
        <is>
          <t>架空クライアントB</t>
        </is>
      </c>
      <c r="C3" s="2" t="inlineStr">
        <is>
          <t>イベント告知用の図解制作</t>
        </is>
      </c>
      <c r="D3" s="2" t="inlineStr">
        <is>
          <t>募集中</t>
        </is>
      </c>
      <c r="E3" s="2">
        <f>IF(AND(N3&lt;&gt;"",O3&lt;&gt;"",R3&lt;&gt;"",S3&lt;&gt;""),"完了",D3)</f>
        <v/>
      </c>
      <c r="F3" s="2" t="inlineStr">
        <is>
          <t>応募なし</t>
        </is>
      </c>
      <c r="G3" s="2" t="inlineStr">
        <is>
          <t>未定</t>
        </is>
      </c>
      <c r="H3" s="6" t="n">
        <v>30000</v>
      </c>
      <c r="I3" s="5" t="n">
        <v>46307</v>
      </c>
      <c r="J3" s="5" t="n">
        <v>46325</v>
      </c>
      <c r="K3" s="5" t="n">
        <v>46305</v>
      </c>
      <c r="L3" s="2" t="inlineStr">
        <is>
          <t>空き状況を確認し、候補者に個別紹介</t>
        </is>
      </c>
      <c r="M3" s="2" t="inlineStr">
        <is>
          <t>未締結</t>
        </is>
      </c>
      <c r="N3" s="5" t="n"/>
      <c r="O3" s="5" t="n"/>
      <c r="P3" s="2" t="inlineStr">
        <is>
          <t>未発行</t>
        </is>
      </c>
      <c r="Q3" s="5" t="n"/>
      <c r="R3" s="5" t="n"/>
      <c r="S3" s="5" t="n"/>
      <c r="T3" s="2" t="inlineStr">
        <is>
          <t>個別紹介でも本人の意向と稼働状況を確認する。</t>
        </is>
      </c>
    </row>
    <row r="4" ht="48" customHeight="1">
      <c r="A4" s="2" t="inlineStr">
        <is>
          <t>DEMO-003</t>
        </is>
      </c>
      <c r="B4" s="2" t="inlineStr">
        <is>
          <t>架空クライアントC</t>
        </is>
      </c>
      <c r="C4" s="2" t="inlineStr">
        <is>
          <t>サービス紹介スライドの可視化</t>
        </is>
      </c>
      <c r="D4" s="2" t="inlineStr">
        <is>
          <t>募集中</t>
        </is>
      </c>
      <c r="E4" s="2">
        <f>IF(AND(N4&lt;&gt;"",O4&lt;&gt;"",R4&lt;&gt;"",S4&lt;&gt;""),"完了",D4)</f>
        <v/>
      </c>
      <c r="F4" s="2" t="inlineStr">
        <is>
          <t>応募3名・選定中</t>
        </is>
      </c>
      <c r="G4" s="2" t="inlineStr">
        <is>
          <t>未定</t>
        </is>
      </c>
      <c r="H4" s="6" t="n">
        <v>60000</v>
      </c>
      <c r="I4" s="5" t="n">
        <v>46309</v>
      </c>
      <c r="J4" s="5" t="n">
        <v>46331</v>
      </c>
      <c r="K4" s="5" t="n">
        <v>46306</v>
      </c>
      <c r="L4" s="2" t="inlineStr">
        <is>
          <t>3名の応募内容・作品・稼働時間を比較</t>
        </is>
      </c>
      <c r="M4" s="2" t="inlineStr">
        <is>
          <t>未締結</t>
        </is>
      </c>
      <c r="N4" s="5" t="n"/>
      <c r="O4" s="5" t="n"/>
      <c r="P4" s="2" t="inlineStr">
        <is>
          <t>未発行</t>
        </is>
      </c>
      <c r="Q4" s="5" t="n"/>
      <c r="R4" s="5" t="n"/>
      <c r="S4" s="5" t="n"/>
      <c r="T4" s="2" t="inlineStr">
        <is>
          <t>応募数だけで判断せず、案件条件との相性を確認する。</t>
        </is>
      </c>
    </row>
    <row r="5" ht="48" customHeight="1">
      <c r="A5" s="2" t="inlineStr">
        <is>
          <t>DEMO-004</t>
        </is>
      </c>
      <c r="B5" s="2" t="inlineStr">
        <is>
          <t>架空クライアントD</t>
        </is>
      </c>
      <c r="C5" s="2" t="inlineStr">
        <is>
          <t>ワークショップ記録の可視化</t>
        </is>
      </c>
      <c r="D5" s="2" t="inlineStr">
        <is>
          <t>募集中</t>
        </is>
      </c>
      <c r="E5" s="2">
        <f>IF(AND(N5&lt;&gt;"",O5&lt;&gt;"",R5&lt;&gt;"",S5&lt;&gt;""),"完了",D5)</f>
        <v/>
      </c>
      <c r="F5" s="2" t="inlineStr">
        <is>
          <t>推薦済み・面談調整中</t>
        </is>
      </c>
      <c r="G5" s="2" t="inlineStr">
        <is>
          <t>候補：デモ人材A</t>
        </is>
      </c>
      <c r="H5" s="6" t="n">
        <v>45000</v>
      </c>
      <c r="I5" s="5" t="n">
        <v>46304</v>
      </c>
      <c r="J5" s="5" t="n">
        <v>46336</v>
      </c>
      <c r="K5" s="5" t="n">
        <v>46307</v>
      </c>
      <c r="L5" s="2" t="inlineStr">
        <is>
          <t>クライアントと候補者の面談日程を確定</t>
        </is>
      </c>
      <c r="M5" s="2" t="inlineStr">
        <is>
          <t>未締結</t>
        </is>
      </c>
      <c r="N5" s="5" t="n"/>
      <c r="O5" s="5" t="n"/>
      <c r="P5" s="2" t="inlineStr">
        <is>
          <t>未発行</t>
        </is>
      </c>
      <c r="Q5" s="5" t="n"/>
      <c r="R5" s="5" t="n"/>
      <c r="S5" s="5" t="n"/>
      <c r="T5" s="2" t="inlineStr">
        <is>
          <t>募集は締切済み。推薦していても契約はまだ確定していない。</t>
        </is>
      </c>
    </row>
    <row r="6" ht="48" customHeight="1">
      <c r="A6" s="2" t="inlineStr">
        <is>
          <t>DEMO-005</t>
        </is>
      </c>
      <c r="B6" s="2" t="inlineStr">
        <is>
          <t>架空クライアントE</t>
        </is>
      </c>
      <c r="C6" s="2" t="inlineStr">
        <is>
          <t>業務フロー図の制作</t>
        </is>
      </c>
      <c r="D6" s="2" t="inlineStr">
        <is>
          <t>作業中</t>
        </is>
      </c>
      <c r="E6" s="2">
        <f>IF(AND(N6&lt;&gt;"",O6&lt;&gt;"",R6&lt;&gt;"",S6&lt;&gt;""),"完了",D6)</f>
        <v/>
      </c>
      <c r="F6" s="2" t="inlineStr">
        <is>
          <t>初稿制作中</t>
        </is>
      </c>
      <c r="G6" s="2" t="inlineStr">
        <is>
          <t>デモ人材B</t>
        </is>
      </c>
      <c r="H6" s="6" t="n">
        <v>40000</v>
      </c>
      <c r="I6" s="5" t="n">
        <v>46294</v>
      </c>
      <c r="J6" s="5" t="n">
        <v>46307</v>
      </c>
      <c r="K6" s="5" t="n">
        <v>46304</v>
      </c>
      <c r="L6" s="2" t="inlineStr">
        <is>
          <t>初稿の進捗確認・納期を再確認</t>
        </is>
      </c>
      <c r="M6" s="2" t="inlineStr">
        <is>
          <t>締結済み</t>
        </is>
      </c>
      <c r="N6" s="5" t="n"/>
      <c r="O6" s="5" t="n"/>
      <c r="P6" s="2" t="inlineStr">
        <is>
          <t>未発行</t>
        </is>
      </c>
      <c r="Q6" s="5" t="n">
        <v>46336</v>
      </c>
      <c r="R6" s="5" t="n"/>
      <c r="S6" s="5" t="n"/>
      <c r="T6" s="2" t="inlineStr">
        <is>
          <t>次回確認日を過ぎている例。未対応なら赤色で表示。</t>
        </is>
      </c>
    </row>
    <row r="7" ht="48" customHeight="1">
      <c r="A7" s="2" t="inlineStr">
        <is>
          <t>DEMO-006</t>
        </is>
      </c>
      <c r="B7" s="2" t="inlineStr">
        <is>
          <t>架空クライアントF</t>
        </is>
      </c>
      <c r="C7" s="2" t="inlineStr">
        <is>
          <t>調査結果のインフォグラフィック</t>
        </is>
      </c>
      <c r="D7" s="2" t="inlineStr">
        <is>
          <t>納品確認中</t>
        </is>
      </c>
      <c r="E7" s="2">
        <f>IF(AND(N7&lt;&gt;"",O7&lt;&gt;"",R7&lt;&gt;"",S7&lt;&gt;""),"完了",D7)</f>
        <v/>
      </c>
      <c r="F7" s="2" t="inlineStr">
        <is>
          <t>納品済み・検収待ち</t>
        </is>
      </c>
      <c r="G7" s="2" t="inlineStr">
        <is>
          <t>デモ人材C</t>
        </is>
      </c>
      <c r="H7" s="6" t="n">
        <v>55000</v>
      </c>
      <c r="I7" s="5" t="n">
        <v>46290</v>
      </c>
      <c r="J7" s="5" t="n">
        <v>46303</v>
      </c>
      <c r="K7" s="5" t="n">
        <v>46308</v>
      </c>
      <c r="L7" s="2" t="inlineStr">
        <is>
          <t>クライアントに検収・修正の有無を確認</t>
        </is>
      </c>
      <c r="M7" s="2" t="inlineStr">
        <is>
          <t>締結済み</t>
        </is>
      </c>
      <c r="N7" s="5" t="n">
        <v>46303</v>
      </c>
      <c r="O7" s="5" t="n"/>
      <c r="P7" s="2" t="inlineStr">
        <is>
          <t>未発行</t>
        </is>
      </c>
      <c r="Q7" s="5" t="n">
        <v>46331</v>
      </c>
      <c r="R7" s="5" t="n"/>
      <c r="S7" s="5" t="n"/>
      <c r="T7" s="2" t="inlineStr">
        <is>
          <t>納品済みでも検収と支払いが終わるまではグレーアウトしない。</t>
        </is>
      </c>
    </row>
    <row r="8" ht="48" customHeight="1">
      <c r="A8" s="2" t="inlineStr">
        <is>
          <t>DEMO-007</t>
        </is>
      </c>
      <c r="B8" s="2" t="inlineStr">
        <is>
          <t>架空クライアントG</t>
        </is>
      </c>
      <c r="C8" s="2" t="inlineStr">
        <is>
          <t>講座案内リーフレットの図解</t>
        </is>
      </c>
      <c r="D8" s="2" t="inlineStr">
        <is>
          <t>納品確認中</t>
        </is>
      </c>
      <c r="E8" s="2">
        <f>IF(AND(N8&lt;&gt;"",O8&lt;&gt;"",R8&lt;&gt;"",S8&lt;&gt;""),"完了",D8)</f>
        <v/>
      </c>
      <c r="F8" s="2" t="inlineStr">
        <is>
          <t>検収・入金・人材への支払い完了</t>
        </is>
      </c>
      <c r="G8" s="2" t="inlineStr">
        <is>
          <t>デモ人材D</t>
        </is>
      </c>
      <c r="H8" s="6" t="n">
        <v>35000</v>
      </c>
      <c r="I8" s="5" t="n">
        <v>46270</v>
      </c>
      <c r="J8" s="5" t="n">
        <v>46285</v>
      </c>
      <c r="K8" s="5" t="n"/>
      <c r="L8" s="2" t="inlineStr">
        <is>
          <t>対応完了</t>
        </is>
      </c>
      <c r="M8" s="2" t="inlineStr">
        <is>
          <t>締結済み</t>
        </is>
      </c>
      <c r="N8" s="5" t="n">
        <v>46284</v>
      </c>
      <c r="O8" s="5" t="n">
        <v>46287</v>
      </c>
      <c r="P8" s="2" t="inlineStr">
        <is>
          <t>発行済み</t>
        </is>
      </c>
      <c r="Q8" s="5" t="n">
        <v>46300</v>
      </c>
      <c r="R8" s="5" t="n">
        <v>46297</v>
      </c>
      <c r="S8" s="5" t="n">
        <v>46300</v>
      </c>
      <c r="T8" s="2" t="inlineStr">
        <is>
          <t>納品・検収・クライアント入金・人材への支払いが揃った完了例。</t>
        </is>
      </c>
    </row>
  </sheetData>
  <autoFilter ref="A1:T8"/>
  <conditionalFormatting sqref="A2:T1000">
    <cfRule type="expression" priority="1" dxfId="0" stopIfTrue="1">
      <formula>$E2="完了"</formula>
    </cfRule>
    <cfRule type="expression" priority="2" dxfId="1" stopIfTrue="1">
      <formula>AND($E2&lt;&gt;"完了",ISNUMBER($K2),$K2&lt;INDIRECT("'使い方・設定'!$B$2"))</formula>
    </cfRule>
    <cfRule type="expression" priority="3" dxfId="2" stopIfTrue="1">
      <formula>AND($E2&lt;&gt;"完了",ISNUMBER($K2),$K2&gt;=INDIRECT("'使い方・設定'!$B$2"),$K2&lt;=INDIRECT("'使い方・設定'!$B$2")+3)</formula>
    </cfRule>
  </conditionalFormatting>
  <dataValidations count="1">
    <dataValidation sqref="D2:D1000" showDropDown="0" showInputMessage="0" showErrorMessage="1" allowBlank="0" errorTitle="進行段階を選択" error="完了は終了条件4項目から自動判定します。" type="list">
      <formula1>"募集前,募集中,作業中,納品確認中"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8.2" customWidth="1" min="5" max="5"/>
    <col width="17" customWidth="1" min="6" max="6"/>
    <col width="24.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 ht="32" customHeight="1">
      <c r="A1" s="1" t="inlineStr">
        <is>
          <t>応募ID</t>
        </is>
      </c>
      <c r="B1" s="1" t="inlineStr">
        <is>
          <t>案件ID</t>
        </is>
      </c>
      <c r="C1" s="1" t="inlineStr">
        <is>
          <t>人材名（架空）</t>
        </is>
      </c>
      <c r="D1" s="1" t="inlineStr">
        <is>
          <t>応募理由</t>
        </is>
      </c>
      <c r="E1" s="1" t="inlineStr">
        <is>
          <t>経験・参考作品</t>
        </is>
      </c>
      <c r="F1" s="1" t="inlineStr">
        <is>
          <t>週あたり時間</t>
        </is>
      </c>
      <c r="G1" s="1" t="inlineStr">
        <is>
          <t>開始可能日</t>
        </is>
      </c>
      <c r="H1" s="1" t="inlineStr">
        <is>
          <t>選定状況</t>
        </is>
      </c>
      <c r="I1" s="1" t="inlineStr">
        <is>
          <t>面談日・調整状況</t>
        </is>
      </c>
      <c r="J1" s="1" t="inlineStr">
        <is>
          <t>結果</t>
        </is>
      </c>
      <c r="K1" s="1" t="inlineStr">
        <is>
          <t>次の対応</t>
        </is>
      </c>
    </row>
    <row r="2" ht="48" customHeight="1">
      <c r="A2" s="2" t="inlineStr">
        <is>
          <t>AP-001</t>
        </is>
      </c>
      <c r="B2" s="2" t="inlineStr">
        <is>
          <t>DEMO-003</t>
        </is>
      </c>
      <c r="C2" s="2" t="inlineStr">
        <is>
          <t>デモ人材A</t>
        </is>
      </c>
      <c r="D2" s="2" t="inlineStr">
        <is>
          <t>構成整理の経験を活かしたい</t>
        </is>
      </c>
      <c r="E2" s="2" t="inlineStr">
        <is>
          <t>スライド制作の経験あり</t>
        </is>
      </c>
      <c r="F2" s="2" t="n">
        <v>5</v>
      </c>
      <c r="G2" s="5" t="n">
        <v>46310</v>
      </c>
      <c r="H2" s="2" t="inlineStr">
        <is>
          <t>選定中</t>
        </is>
      </c>
      <c r="I2" s="2" t="inlineStr"/>
      <c r="J2" s="2" t="inlineStr">
        <is>
          <t>未確定</t>
        </is>
      </c>
      <c r="K2" s="2" t="inlineStr">
        <is>
          <t>必要に応じて確認</t>
        </is>
      </c>
    </row>
    <row r="3" ht="48" customHeight="1">
      <c r="A3" s="2" t="inlineStr">
        <is>
          <t>AP-002</t>
        </is>
      </c>
      <c r="B3" s="2" t="inlineStr">
        <is>
          <t>DEMO-003</t>
        </is>
      </c>
      <c r="C3" s="2" t="inlineStr">
        <is>
          <t>デモ人材B</t>
        </is>
      </c>
      <c r="D3" s="2" t="inlineStr">
        <is>
          <t>図解の仕事に挑戦したい</t>
        </is>
      </c>
      <c r="E3" s="2" t="inlineStr">
        <is>
          <t>講座の課題で図解を制作</t>
        </is>
      </c>
      <c r="F3" s="2" t="n">
        <v>3</v>
      </c>
      <c r="G3" s="5" t="n">
        <v>46313</v>
      </c>
      <c r="H3" s="2" t="inlineStr">
        <is>
          <t>選定中</t>
        </is>
      </c>
      <c r="I3" s="2" t="inlineStr"/>
      <c r="J3" s="2" t="inlineStr">
        <is>
          <t>未確定</t>
        </is>
      </c>
      <c r="K3" s="2" t="inlineStr">
        <is>
          <t>必要に応じて確認</t>
        </is>
      </c>
    </row>
    <row r="4" ht="48" customHeight="1">
      <c r="A4" s="2" t="inlineStr">
        <is>
          <t>AP-003</t>
        </is>
      </c>
      <c r="B4" s="2" t="inlineStr">
        <is>
          <t>DEMO-003</t>
        </is>
      </c>
      <c r="C4" s="2" t="inlineStr">
        <is>
          <t>デモ人材C</t>
        </is>
      </c>
      <c r="D4" s="2" t="inlineStr">
        <is>
          <t>サービスの魅力を整理したい</t>
        </is>
      </c>
      <c r="E4" s="2" t="inlineStr">
        <is>
          <t>参考作品あり</t>
        </is>
      </c>
      <c r="F4" s="2" t="n">
        <v>6</v>
      </c>
      <c r="G4" s="5" t="n">
        <v>46310</v>
      </c>
      <c r="H4" s="2" t="inlineStr">
        <is>
          <t>選定中</t>
        </is>
      </c>
      <c r="I4" s="2" t="inlineStr"/>
      <c r="J4" s="2" t="inlineStr">
        <is>
          <t>未確定</t>
        </is>
      </c>
      <c r="K4" s="2" t="inlineStr">
        <is>
          <t>必要に応じて確認</t>
        </is>
      </c>
    </row>
    <row r="5" ht="48" customHeight="1">
      <c r="A5" s="2" t="inlineStr">
        <is>
          <t>AP-004</t>
        </is>
      </c>
      <c r="B5" s="2" t="inlineStr">
        <is>
          <t>DEMO-004</t>
        </is>
      </c>
      <c r="C5" s="2" t="inlineStr">
        <is>
          <t>デモ人材A</t>
        </is>
      </c>
      <c r="D5" s="2" t="inlineStr">
        <is>
          <t>記録の可視化が得意</t>
        </is>
      </c>
      <c r="E5" s="2" t="inlineStr">
        <is>
          <t>ワークショップ記録の経験あり</t>
        </is>
      </c>
      <c r="F5" s="2" t="n">
        <v>4</v>
      </c>
      <c r="G5" s="5" t="n">
        <v>46315</v>
      </c>
      <c r="H5" s="2" t="inlineStr">
        <is>
          <t>推薦済み</t>
        </is>
      </c>
      <c r="I5" s="2" t="inlineStr">
        <is>
          <t>調整中</t>
        </is>
      </c>
      <c r="J5" s="2" t="inlineStr">
        <is>
          <t>未確定</t>
        </is>
      </c>
      <c r="K5" s="2" t="inlineStr">
        <is>
          <t>必要に応じて確認</t>
        </is>
      </c>
    </row>
    <row r="6" ht="48" customHeight="1">
      <c r="A6" s="2" t="inlineStr">
        <is>
          <t>AP-005</t>
        </is>
      </c>
      <c r="B6" s="2" t="inlineStr">
        <is>
          <t>DEMO-005</t>
        </is>
      </c>
      <c r="C6" s="2" t="inlineStr">
        <is>
          <t>デモ人材B</t>
        </is>
      </c>
      <c r="D6" s="2" t="inlineStr">
        <is>
          <t>業務フロー整理に関心がある</t>
        </is>
      </c>
      <c r="E6" s="2" t="inlineStr">
        <is>
          <t>参考作品確認済み</t>
        </is>
      </c>
      <c r="F6" s="2" t="n">
        <v>6</v>
      </c>
      <c r="G6" s="5" t="n">
        <v>46296</v>
      </c>
      <c r="H6" s="2" t="inlineStr">
        <is>
          <t>契約・稼働中</t>
        </is>
      </c>
      <c r="I6" s="2" t="inlineStr">
        <is>
          <t>2026-09-28</t>
        </is>
      </c>
      <c r="J6" s="2" t="inlineStr">
        <is>
          <t>合意</t>
        </is>
      </c>
      <c r="K6" s="2" t="inlineStr">
        <is>
          <t>必要に応じて確認</t>
        </is>
      </c>
    </row>
    <row r="7" ht="48" customHeight="1">
      <c r="A7" s="2" t="inlineStr">
        <is>
          <t>AP-006</t>
        </is>
      </c>
      <c r="B7" s="2" t="inlineStr">
        <is>
          <t>DEMO-006</t>
        </is>
      </c>
      <c r="C7" s="2" t="inlineStr">
        <is>
          <t>デモ人材C</t>
        </is>
      </c>
      <c r="D7" s="2" t="inlineStr">
        <is>
          <t>データの図解を担当したい</t>
        </is>
      </c>
      <c r="E7" s="2" t="inlineStr">
        <is>
          <t>参考作品確認済み</t>
        </is>
      </c>
      <c r="F7" s="2" t="n">
        <v>5</v>
      </c>
      <c r="G7" s="5" t="n">
        <v>46293</v>
      </c>
      <c r="H7" s="2" t="inlineStr">
        <is>
          <t>納品確認中</t>
        </is>
      </c>
      <c r="I7" s="2" t="inlineStr">
        <is>
          <t>2026-09-26</t>
        </is>
      </c>
      <c r="J7" s="2" t="inlineStr">
        <is>
          <t>合意</t>
        </is>
      </c>
      <c r="K7" s="2" t="inlineStr">
        <is>
          <t>必要に応じて確認</t>
        </is>
      </c>
    </row>
    <row r="8" ht="48" customHeight="1">
      <c r="A8" s="2" t="inlineStr">
        <is>
          <t>AP-007</t>
        </is>
      </c>
      <c r="B8" s="2" t="inlineStr">
        <is>
          <t>DEMO-007</t>
        </is>
      </c>
      <c r="C8" s="2" t="inlineStr">
        <is>
          <t>デモ人材D</t>
        </is>
      </c>
      <c r="D8" s="2" t="inlineStr">
        <is>
          <t>リーフレット制作を希望</t>
        </is>
      </c>
      <c r="E8" s="2" t="inlineStr">
        <is>
          <t>参考作品確認済み</t>
        </is>
      </c>
      <c r="F8" s="2" t="n">
        <v>4</v>
      </c>
      <c r="G8" s="5" t="n">
        <v>46275</v>
      </c>
      <c r="H8" s="2" t="inlineStr">
        <is>
          <t>完了</t>
        </is>
      </c>
      <c r="I8" s="2" t="inlineStr">
        <is>
          <t>2026-09-07</t>
        </is>
      </c>
      <c r="J8" s="2" t="inlineStr">
        <is>
          <t>合意</t>
        </is>
      </c>
      <c r="K8" s="2" t="inlineStr">
        <is>
          <t>必要に応じて確認</t>
        </is>
      </c>
    </row>
  </sheetData>
  <autoFilter ref="A1:K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4.7" customWidth="1" min="4" max="4"/>
    <col width="24.7" customWidth="1" min="5" max="5"/>
    <col width="18.2" customWidth="1" min="6" max="6"/>
    <col width="17" customWidth="1" min="7" max="7"/>
    <col width="29.9" customWidth="1" min="8" max="8"/>
  </cols>
  <sheetData>
    <row r="1" ht="32" customHeight="1">
      <c r="A1" s="1" t="inlineStr">
        <is>
          <t>人材名（架空）</t>
        </is>
      </c>
      <c r="B1" s="1" t="inlineStr">
        <is>
          <t>得意・経験</t>
        </is>
      </c>
      <c r="C1" s="1" t="inlineStr">
        <is>
          <t>週あたりの空き時間</t>
        </is>
      </c>
      <c r="D1" s="1" t="inlineStr">
        <is>
          <t>開始可能日</t>
        </is>
      </c>
      <c r="E1" s="1" t="inlineStr">
        <is>
          <t>最終回答日</t>
        </is>
      </c>
      <c r="F1" s="1" t="inlineStr">
        <is>
          <t>希望する案件</t>
        </is>
      </c>
      <c r="G1" s="1" t="inlineStr">
        <is>
          <t>確認状況（自動）</t>
        </is>
      </c>
      <c r="H1" s="1" t="inlineStr">
        <is>
          <t>備考</t>
        </is>
      </c>
    </row>
    <row r="2" ht="48" customHeight="1">
      <c r="A2" s="2" t="inlineStr">
        <is>
          <t>デモ人材A</t>
        </is>
      </c>
      <c r="B2" s="2" t="inlineStr">
        <is>
          <t>構成整理・記録の可視化</t>
        </is>
      </c>
      <c r="C2" s="2" t="n">
        <v>5</v>
      </c>
      <c r="D2" s="5" t="n">
        <v>46310</v>
      </c>
      <c r="E2" s="5" t="n">
        <v>46303</v>
      </c>
      <c r="F2" s="2" t="inlineStr">
        <is>
          <t>スライド・ワークショップ記録</t>
        </is>
      </c>
      <c r="G2" s="2">
        <f>IF(E2="","未回答",IF('使い方・設定'!$B$2-E2&gt;14,"再確認が必要","紹介前に対応可否確認"))</f>
        <v/>
      </c>
      <c r="H2" s="2" t="inlineStr">
        <is>
          <t>他の仕事を含めた空き時間。紹介前に再確認。</t>
        </is>
      </c>
    </row>
    <row r="3" ht="48" customHeight="1">
      <c r="A3" s="2" t="inlineStr">
        <is>
          <t>デモ人材B</t>
        </is>
      </c>
      <c r="B3" s="2" t="inlineStr">
        <is>
          <t>図解・業務フロー</t>
        </is>
      </c>
      <c r="C3" s="2" t="n">
        <v>3</v>
      </c>
      <c r="D3" s="5" t="n">
        <v>46313</v>
      </c>
      <c r="E3" s="5" t="n">
        <v>46304</v>
      </c>
      <c r="F3" s="2" t="inlineStr">
        <is>
          <t>図解制作</t>
        </is>
      </c>
      <c r="G3" s="2">
        <f>IF(E3="","未回答",IF('使い方・設定'!$B$2-E3&gt;14,"再確認が必要","紹介前に対応可否確認"))</f>
        <v/>
      </c>
      <c r="H3" s="2" t="inlineStr">
        <is>
          <t>現在の作業終了後の予定。</t>
        </is>
      </c>
    </row>
    <row r="4" ht="48" customHeight="1">
      <c r="A4" s="2" t="inlineStr">
        <is>
          <t>デモ人材C</t>
        </is>
      </c>
      <c r="B4" s="2" t="inlineStr">
        <is>
          <t>データ整理・図解</t>
        </is>
      </c>
      <c r="C4" s="2" t="n">
        <v>6</v>
      </c>
      <c r="D4" s="5" t="n">
        <v>46310</v>
      </c>
      <c r="E4" s="5" t="n">
        <v>46280</v>
      </c>
      <c r="F4" s="2" t="inlineStr">
        <is>
          <t>データの可視化</t>
        </is>
      </c>
      <c r="G4" s="2">
        <f>IF(E4="","未回答",IF('使い方・設定'!$B$2-E4&gt;14,"再確認が必要","紹介前に対応可否確認"))</f>
        <v/>
      </c>
      <c r="H4" s="2" t="inlineStr">
        <is>
          <t>回答が古いため再確認が必要。</t>
        </is>
      </c>
    </row>
    <row r="5" ht="48" customHeight="1">
      <c r="A5" s="2" t="inlineStr">
        <is>
          <t>デモ人材D</t>
        </is>
      </c>
      <c r="B5" s="2" t="inlineStr">
        <is>
          <t>図解・レイアウト</t>
        </is>
      </c>
      <c r="C5" s="2" t="n">
        <v>4</v>
      </c>
      <c r="D5" s="5" t="n">
        <v>46307</v>
      </c>
      <c r="E5" s="5" t="n">
        <v>46304</v>
      </c>
      <c r="F5" s="2" t="inlineStr">
        <is>
          <t>SNS画像・リーフレット</t>
        </is>
      </c>
      <c r="G5" s="2">
        <f>IF(E5="","未回答",IF('使い方・設定'!$B$2-E5&gt;14,"再確認が必要","紹介前に対応可否確認"))</f>
        <v/>
      </c>
      <c r="H5" s="2" t="inlineStr">
        <is>
          <t>応募なし案件の個別紹介候補。対応可否は未確認。</t>
        </is>
      </c>
    </row>
  </sheetData>
  <autoFilter ref="A1:H5"/>
  <conditionalFormatting sqref="A2:H1000">
    <cfRule type="expression" priority="1" dxfId="2">
      <formula>$G2="再確認が必要"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24.7" customWidth="1" min="5" max="5"/>
    <col width="17" customWidth="1" min="6" max="6"/>
    <col width="24.7" customWidth="1" min="7" max="7"/>
    <col width="17" customWidth="1" min="8" max="8"/>
    <col width="17" customWidth="1" min="9" max="9"/>
    <col width="17" customWidth="1" min="10" max="10"/>
    <col width="17" customWidth="1" min="11" max="11"/>
    <col width="23.4" customWidth="1" min="12" max="12"/>
  </cols>
  <sheetData>
    <row r="1" ht="32" customHeight="1">
      <c r="A1" s="1" t="inlineStr">
        <is>
          <t>案件ID</t>
        </is>
      </c>
      <c r="B1" s="1" t="inlineStr">
        <is>
          <t>成果物・仕事内容</t>
        </is>
      </c>
      <c r="C1" s="1" t="inlineStr">
        <is>
          <t>必要スキル</t>
        </is>
      </c>
      <c r="D1" s="1" t="inlineStr">
        <is>
          <t>案件予算（架空）</t>
        </is>
      </c>
      <c r="E1" s="1" t="inlineStr">
        <is>
          <t>納期</t>
        </is>
      </c>
      <c r="F1" s="1" t="inlineStr">
        <is>
          <t>想定稼働</t>
        </is>
      </c>
      <c r="G1" s="1" t="inlineStr">
        <is>
          <t>募集締切</t>
        </is>
      </c>
      <c r="H1" s="1" t="inlineStr">
        <is>
          <t>修正範囲</t>
        </is>
      </c>
      <c r="I1" s="1" t="inlineStr">
        <is>
          <t>検収条件</t>
        </is>
      </c>
      <c r="J1" s="1" t="inlineStr">
        <is>
          <t>契約主体</t>
        </is>
      </c>
      <c r="K1" s="1" t="inlineStr">
        <is>
          <t>支払条件</t>
        </is>
      </c>
      <c r="L1" s="1" t="inlineStr">
        <is>
          <t>選定・面談方法</t>
        </is>
      </c>
    </row>
    <row r="2" ht="48" customHeight="1">
      <c r="A2" s="2" t="inlineStr">
        <is>
          <t>DEMO-001</t>
        </is>
      </c>
      <c r="B2" s="2" t="inlineStr">
        <is>
          <t>研修スライドの図解5点</t>
        </is>
      </c>
      <c r="C2" s="2" t="inlineStr">
        <is>
          <t>情報整理・図解制作</t>
        </is>
      </c>
      <c r="D2" s="2" t="n">
        <v>50000</v>
      </c>
      <c r="E2" s="5" t="n">
        <v>46332</v>
      </c>
      <c r="F2" s="2" t="inlineStr">
        <is>
          <t>週5時間程度</t>
        </is>
      </c>
      <c r="G2" s="5" t="n">
        <v>46311</v>
      </c>
      <c r="H2" s="2" t="inlineStr">
        <is>
          <t>要相談</t>
        </is>
      </c>
      <c r="I2" s="2" t="inlineStr">
        <is>
          <t>要相談</t>
        </is>
      </c>
      <c r="J2" s="2" t="inlineStr">
        <is>
          <t>要相談</t>
        </is>
      </c>
      <c r="K2" s="2" t="inlineStr">
        <is>
          <t>要相談</t>
        </is>
      </c>
      <c r="L2" s="2" t="inlineStr">
        <is>
          <t>私が推薦・面談調整。決定方法は要相談</t>
        </is>
      </c>
    </row>
    <row r="3" ht="48" customHeight="1">
      <c r="A3" s="2" t="inlineStr">
        <is>
          <t>DEMO-002</t>
        </is>
      </c>
      <c r="B3" s="2" t="inlineStr">
        <is>
          <t>告知用図解2点</t>
        </is>
      </c>
      <c r="C3" s="2" t="inlineStr">
        <is>
          <t>図解・SNS画像制作</t>
        </is>
      </c>
      <c r="D3" s="2" t="n">
        <v>30000</v>
      </c>
      <c r="E3" s="5" t="n">
        <v>46325</v>
      </c>
      <c r="F3" s="2" t="inlineStr">
        <is>
          <t>週3時間程度</t>
        </is>
      </c>
      <c r="G3" s="5" t="n">
        <v>46307</v>
      </c>
      <c r="H3" s="2" t="inlineStr">
        <is>
          <t>要相談</t>
        </is>
      </c>
      <c r="I3" s="2" t="inlineStr">
        <is>
          <t>要相談</t>
        </is>
      </c>
      <c r="J3" s="2" t="inlineStr">
        <is>
          <t>要相談</t>
        </is>
      </c>
      <c r="K3" s="2" t="inlineStr">
        <is>
          <t>要相談</t>
        </is>
      </c>
      <c r="L3" s="2" t="inlineStr">
        <is>
          <t>私が推薦・面談調整。決定方法は要相談</t>
        </is>
      </c>
    </row>
    <row r="4" ht="48" customHeight="1">
      <c r="A4" s="2" t="inlineStr">
        <is>
          <t>DEMO-003</t>
        </is>
      </c>
      <c r="B4" s="2" t="inlineStr">
        <is>
          <t>サービス紹介スライド8枚</t>
        </is>
      </c>
      <c r="C4" s="2" t="inlineStr">
        <is>
          <t>構成整理・スライド制作</t>
        </is>
      </c>
      <c r="D4" s="2" t="n">
        <v>60000</v>
      </c>
      <c r="E4" s="5" t="n">
        <v>46331</v>
      </c>
      <c r="F4" s="2" t="inlineStr">
        <is>
          <t>週5時間程度</t>
        </is>
      </c>
      <c r="G4" s="5" t="n">
        <v>46309</v>
      </c>
      <c r="H4" s="2" t="inlineStr">
        <is>
          <t>要相談</t>
        </is>
      </c>
      <c r="I4" s="2" t="inlineStr">
        <is>
          <t>要相談</t>
        </is>
      </c>
      <c r="J4" s="2" t="inlineStr">
        <is>
          <t>要相談</t>
        </is>
      </c>
      <c r="K4" s="2" t="inlineStr">
        <is>
          <t>要相談</t>
        </is>
      </c>
      <c r="L4" s="2" t="inlineStr">
        <is>
          <t>私が推薦・面談調整。決定方法は要相談</t>
        </is>
      </c>
    </row>
    <row r="5" ht="48" customHeight="1">
      <c r="A5" s="2" t="inlineStr">
        <is>
          <t>DEMO-004</t>
        </is>
      </c>
      <c r="B5" s="2" t="inlineStr">
        <is>
          <t>記録の図解3点</t>
        </is>
      </c>
      <c r="C5" s="2" t="inlineStr">
        <is>
          <t>要点整理・記録の可視化</t>
        </is>
      </c>
      <c r="D5" s="2" t="n">
        <v>45000</v>
      </c>
      <c r="E5" s="5" t="n">
        <v>46336</v>
      </c>
      <c r="F5" s="2" t="inlineStr">
        <is>
          <t>週4時間程度</t>
        </is>
      </c>
      <c r="G5" s="5" t="n">
        <v>46304</v>
      </c>
      <c r="H5" s="2" t="inlineStr">
        <is>
          <t>要相談</t>
        </is>
      </c>
      <c r="I5" s="2" t="inlineStr">
        <is>
          <t>要相談</t>
        </is>
      </c>
      <c r="J5" s="2" t="inlineStr">
        <is>
          <t>要相談</t>
        </is>
      </c>
      <c r="K5" s="2" t="inlineStr">
        <is>
          <t>要相談</t>
        </is>
      </c>
      <c r="L5" s="2" t="inlineStr">
        <is>
          <t>私が推薦・面談調整。決定方法は要相談</t>
        </is>
      </c>
    </row>
    <row r="6" ht="48" customHeight="1">
      <c r="A6" s="2" t="inlineStr">
        <is>
          <t>DEMO-005</t>
        </is>
      </c>
      <c r="B6" s="2" t="inlineStr">
        <is>
          <t>業務フロー図4点</t>
        </is>
      </c>
      <c r="C6" s="2" t="inlineStr">
        <is>
          <t>業務整理・フロー図制作</t>
        </is>
      </c>
      <c r="D6" s="2" t="n">
        <v>40000</v>
      </c>
      <c r="E6" s="5" t="n">
        <v>46307</v>
      </c>
      <c r="F6" s="2" t="inlineStr">
        <is>
          <t>週6時間程度</t>
        </is>
      </c>
      <c r="G6" s="5" t="n">
        <v>46294</v>
      </c>
      <c r="H6" s="2" t="inlineStr">
        <is>
          <t>要相談</t>
        </is>
      </c>
      <c r="I6" s="2" t="inlineStr">
        <is>
          <t>要相談</t>
        </is>
      </c>
      <c r="J6" s="2" t="inlineStr">
        <is>
          <t>要相談</t>
        </is>
      </c>
      <c r="K6" s="2" t="inlineStr">
        <is>
          <t>要相談</t>
        </is>
      </c>
      <c r="L6" s="2" t="inlineStr">
        <is>
          <t>私が推薦・面談調整。決定方法は要相談</t>
        </is>
      </c>
    </row>
    <row r="7" ht="48" customHeight="1">
      <c r="A7" s="2" t="inlineStr">
        <is>
          <t>DEMO-006</t>
        </is>
      </c>
      <c r="B7" s="2" t="inlineStr">
        <is>
          <t>インフォグラフィック3点</t>
        </is>
      </c>
      <c r="C7" s="2" t="inlineStr">
        <is>
          <t>データ整理・図解制作</t>
        </is>
      </c>
      <c r="D7" s="2" t="n">
        <v>55000</v>
      </c>
      <c r="E7" s="5" t="n">
        <v>46303</v>
      </c>
      <c r="F7" s="2" t="inlineStr">
        <is>
          <t>週5時間程度</t>
        </is>
      </c>
      <c r="G7" s="5" t="n">
        <v>46290</v>
      </c>
      <c r="H7" s="2" t="inlineStr">
        <is>
          <t>要相談</t>
        </is>
      </c>
      <c r="I7" s="2" t="inlineStr">
        <is>
          <t>要相談</t>
        </is>
      </c>
      <c r="J7" s="2" t="inlineStr">
        <is>
          <t>要相談</t>
        </is>
      </c>
      <c r="K7" s="2" t="inlineStr">
        <is>
          <t>要相談</t>
        </is>
      </c>
      <c r="L7" s="2" t="inlineStr">
        <is>
          <t>私が推薦・面談調整。決定方法は要相談</t>
        </is>
      </c>
    </row>
    <row r="8" ht="48" customHeight="1">
      <c r="A8" s="2" t="inlineStr">
        <is>
          <t>DEMO-007</t>
        </is>
      </c>
      <c r="B8" s="2" t="inlineStr">
        <is>
          <t>リーフレット用図解2点</t>
        </is>
      </c>
      <c r="C8" s="2" t="inlineStr">
        <is>
          <t>図解・レイアウト</t>
        </is>
      </c>
      <c r="D8" s="2" t="n">
        <v>35000</v>
      </c>
      <c r="E8" s="5" t="n">
        <v>46285</v>
      </c>
      <c r="F8" s="2" t="inlineStr">
        <is>
          <t>稼働終了</t>
        </is>
      </c>
      <c r="G8" s="5" t="n">
        <v>46270</v>
      </c>
      <c r="H8" s="2" t="inlineStr">
        <is>
          <t>要相談</t>
        </is>
      </c>
      <c r="I8" s="2" t="inlineStr">
        <is>
          <t>要相談</t>
        </is>
      </c>
      <c r="J8" s="2" t="inlineStr">
        <is>
          <t>要相談</t>
        </is>
      </c>
      <c r="K8" s="2" t="inlineStr">
        <is>
          <t>要相談</t>
        </is>
      </c>
      <c r="L8" s="2" t="inlineStr">
        <is>
          <t>私が推薦・面談調整。決定方法は要相談</t>
        </is>
      </c>
    </row>
  </sheetData>
  <autoFilter ref="A1:L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.7" customWidth="1" min="2" max="2"/>
    <col width="17" customWidth="1" min="3" max="3"/>
    <col width="19.5" customWidth="1" min="4" max="4"/>
    <col width="24.7" customWidth="1" min="5" max="5"/>
    <col width="24.7" customWidth="1" min="6" max="6"/>
    <col width="24.7" customWidth="1" min="7" max="7"/>
    <col width="17" customWidth="1" min="8" max="8"/>
    <col width="17" customWidth="1" min="9" max="9"/>
  </cols>
  <sheetData>
    <row r="1" ht="32" customHeight="1">
      <c r="A1" s="1" t="inlineStr">
        <is>
          <t>案件ID</t>
        </is>
      </c>
      <c r="B1" s="1" t="inlineStr">
        <is>
          <t>確認日</t>
        </is>
      </c>
      <c r="C1" s="1" t="inlineStr">
        <is>
          <t>担当者</t>
        </is>
      </c>
      <c r="D1" s="1" t="inlineStr">
        <is>
          <t>進捗</t>
        </is>
      </c>
      <c r="E1" s="1" t="inlineStr">
        <is>
          <t>次回確認日</t>
        </is>
      </c>
      <c r="F1" s="1" t="inlineStr">
        <is>
          <t>納期</t>
        </is>
      </c>
      <c r="G1" s="1" t="inlineStr">
        <is>
          <t>次の対応</t>
        </is>
      </c>
      <c r="H1" s="1" t="inlineStr">
        <is>
          <t>最終連絡日</t>
        </is>
      </c>
      <c r="I1" s="1" t="inlineStr">
        <is>
          <t>相談・調整事項</t>
        </is>
      </c>
    </row>
    <row r="2" ht="48" customHeight="1">
      <c r="A2" s="2" t="inlineStr">
        <is>
          <t>DEMO-001</t>
        </is>
      </c>
      <c r="B2" s="5" t="n">
        <v>46305</v>
      </c>
      <c r="C2" s="2" t="inlineStr">
        <is>
          <t>未定</t>
        </is>
      </c>
      <c r="D2" s="2" t="inlineStr">
        <is>
          <t>依頼内容を整理中</t>
        </is>
      </c>
      <c r="E2" s="5" t="n">
        <v>46307</v>
      </c>
      <c r="F2" s="5" t="n">
        <v>46332</v>
      </c>
      <c r="G2" s="2" t="inlineStr">
        <is>
          <t>予算・成果物の範囲をクライアントに確認</t>
        </is>
      </c>
      <c r="H2" s="5" t="n"/>
      <c r="I2" s="2" t="inlineStr">
        <is>
          <t>デモ例。確認時に記録を追記</t>
        </is>
      </c>
    </row>
    <row r="3" ht="48" customHeight="1">
      <c r="A3" s="2" t="inlineStr">
        <is>
          <t>DEMO-002</t>
        </is>
      </c>
      <c r="B3" s="5" t="n">
        <v>46305</v>
      </c>
      <c r="C3" s="2" t="inlineStr">
        <is>
          <t>未定</t>
        </is>
      </c>
      <c r="D3" s="2" t="inlineStr">
        <is>
          <t>応募なし</t>
        </is>
      </c>
      <c r="E3" s="5" t="n">
        <v>46305</v>
      </c>
      <c r="F3" s="5" t="n">
        <v>46325</v>
      </c>
      <c r="G3" s="2" t="inlineStr">
        <is>
          <t>空き状況を確認し、候補者に個別紹介</t>
        </is>
      </c>
      <c r="H3" s="5" t="n"/>
      <c r="I3" s="2" t="inlineStr">
        <is>
          <t>デモ例。確認時に記録を追記</t>
        </is>
      </c>
    </row>
    <row r="4" ht="48" customHeight="1">
      <c r="A4" s="2" t="inlineStr">
        <is>
          <t>DEMO-003</t>
        </is>
      </c>
      <c r="B4" s="5" t="n">
        <v>46305</v>
      </c>
      <c r="C4" s="2" t="inlineStr">
        <is>
          <t>未定</t>
        </is>
      </c>
      <c r="D4" s="2" t="inlineStr">
        <is>
          <t>応募3名・選定中</t>
        </is>
      </c>
      <c r="E4" s="5" t="n">
        <v>46306</v>
      </c>
      <c r="F4" s="5" t="n">
        <v>46331</v>
      </c>
      <c r="G4" s="2" t="inlineStr">
        <is>
          <t>3名の応募内容・作品・稼働時間を比較</t>
        </is>
      </c>
      <c r="H4" s="5" t="n"/>
      <c r="I4" s="2" t="inlineStr">
        <is>
          <t>デモ例。確認時に記録を追記</t>
        </is>
      </c>
    </row>
    <row r="5" ht="48" customHeight="1">
      <c r="A5" s="2" t="inlineStr">
        <is>
          <t>DEMO-004</t>
        </is>
      </c>
      <c r="B5" s="5" t="n">
        <v>46305</v>
      </c>
      <c r="C5" s="2" t="inlineStr">
        <is>
          <t>候補：デモ人材A</t>
        </is>
      </c>
      <c r="D5" s="2" t="inlineStr">
        <is>
          <t>推薦済み・面談調整中</t>
        </is>
      </c>
      <c r="E5" s="5" t="n">
        <v>46307</v>
      </c>
      <c r="F5" s="5" t="n">
        <v>46336</v>
      </c>
      <c r="G5" s="2" t="inlineStr">
        <is>
          <t>クライアントと候補者の面談日程を確定</t>
        </is>
      </c>
      <c r="H5" s="5" t="n"/>
      <c r="I5" s="2" t="inlineStr">
        <is>
          <t>デモ例。確認時に記録を追記</t>
        </is>
      </c>
    </row>
    <row r="6" ht="48" customHeight="1">
      <c r="A6" s="2" t="inlineStr">
        <is>
          <t>DEMO-005</t>
        </is>
      </c>
      <c r="B6" s="5" t="n">
        <v>46305</v>
      </c>
      <c r="C6" s="2" t="inlineStr">
        <is>
          <t>デモ人材B</t>
        </is>
      </c>
      <c r="D6" s="2" t="inlineStr">
        <is>
          <t>初稿制作中</t>
        </is>
      </c>
      <c r="E6" s="5" t="n">
        <v>46304</v>
      </c>
      <c r="F6" s="5" t="n">
        <v>46307</v>
      </c>
      <c r="G6" s="2" t="inlineStr">
        <is>
          <t>初稿の進捗確認・納期を再確認</t>
        </is>
      </c>
      <c r="H6" s="5" t="n"/>
      <c r="I6" s="2" t="inlineStr">
        <is>
          <t>デモ例。確認時に記録を追記</t>
        </is>
      </c>
    </row>
    <row r="7" ht="48" customHeight="1">
      <c r="A7" s="2" t="inlineStr">
        <is>
          <t>DEMO-006</t>
        </is>
      </c>
      <c r="B7" s="5" t="n">
        <v>46305</v>
      </c>
      <c r="C7" s="2" t="inlineStr">
        <is>
          <t>デモ人材C</t>
        </is>
      </c>
      <c r="D7" s="2" t="inlineStr">
        <is>
          <t>納品済み・検収待ち</t>
        </is>
      </c>
      <c r="E7" s="5" t="n">
        <v>46308</v>
      </c>
      <c r="F7" s="5" t="n">
        <v>46303</v>
      </c>
      <c r="G7" s="2" t="inlineStr">
        <is>
          <t>クライアントに検収・修正の有無を確認</t>
        </is>
      </c>
      <c r="H7" s="5" t="n"/>
      <c r="I7" s="2" t="inlineStr">
        <is>
          <t>デモ例。確認時に記録を追記</t>
        </is>
      </c>
    </row>
    <row r="8" ht="48" customHeight="1">
      <c r="A8" s="2" t="inlineStr">
        <is>
          <t>DEMO-007</t>
        </is>
      </c>
      <c r="B8" s="5" t="n">
        <v>46305</v>
      </c>
      <c r="C8" s="2" t="inlineStr">
        <is>
          <t>デモ人材D</t>
        </is>
      </c>
      <c r="D8" s="2" t="inlineStr">
        <is>
          <t>検収・入金・人材への支払い完了</t>
        </is>
      </c>
      <c r="E8" s="5" t="n"/>
      <c r="F8" s="5" t="n">
        <v>46285</v>
      </c>
      <c r="G8" s="2" t="inlineStr">
        <is>
          <t>対応完了</t>
        </is>
      </c>
      <c r="H8" s="5" t="n"/>
      <c r="I8" s="2" t="inlineStr">
        <is>
          <t>デモ例。確認時に記録を追記</t>
        </is>
      </c>
    </row>
  </sheetData>
  <autoFilter ref="A1:I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4.7" customWidth="1" min="3" max="3"/>
    <col width="24.7" customWidth="1" min="4" max="4"/>
    <col width="17" customWidth="1" min="5" max="5"/>
    <col width="17" customWidth="1" min="6" max="6"/>
    <col width="17" customWidth="1" min="7" max="7"/>
    <col width="17" customWidth="1" min="8" max="8"/>
    <col width="24.7" customWidth="1" min="9" max="9"/>
    <col width="24.7" customWidth="1" min="10" max="10"/>
    <col width="17" customWidth="1" min="11" max="11"/>
    <col width="24.7" customWidth="1" min="12" max="12"/>
    <col width="17" customWidth="1" min="13" max="13"/>
    <col width="35.1" customWidth="1" min="14" max="14"/>
  </cols>
  <sheetData>
    <row r="1" ht="32" customHeight="1">
      <c r="A1" s="1" t="inlineStr">
        <is>
          <t>案件ID</t>
        </is>
      </c>
      <c r="B1" s="1" t="inlineStr">
        <is>
          <t>成果物</t>
        </is>
      </c>
      <c r="C1" s="1" t="inlineStr">
        <is>
          <t>納品日</t>
        </is>
      </c>
      <c r="D1" s="1" t="inlineStr">
        <is>
          <t>検収日</t>
        </is>
      </c>
      <c r="E1" s="1" t="inlineStr">
        <is>
          <t>修正有無</t>
        </is>
      </c>
      <c r="F1" s="1" t="inlineStr">
        <is>
          <t>請求番号</t>
        </is>
      </c>
      <c r="G1" s="1" t="inlineStr">
        <is>
          <t>請求額</t>
        </is>
      </c>
      <c r="H1" s="1" t="inlineStr">
        <is>
          <t>税・費用の扱い</t>
        </is>
      </c>
      <c r="I1" s="1" t="inlineStr">
        <is>
          <t>支払期日</t>
        </is>
      </c>
      <c r="J1" s="1" t="inlineStr">
        <is>
          <t>入金日</t>
        </is>
      </c>
      <c r="K1" s="1" t="inlineStr">
        <is>
          <t>人材報酬</t>
        </is>
      </c>
      <c r="L1" s="1" t="inlineStr">
        <is>
          <t>人材支払日</t>
        </is>
      </c>
      <c r="M1" s="1" t="inlineStr">
        <is>
          <t>営業報酬</t>
        </is>
      </c>
      <c r="N1" s="1" t="inlineStr">
        <is>
          <t>備考</t>
        </is>
      </c>
    </row>
    <row r="2" ht="48" customHeight="1">
      <c r="A2" s="2" t="inlineStr">
        <is>
          <t>DEMO-001</t>
        </is>
      </c>
      <c r="B2" s="2" t="inlineStr">
        <is>
          <t>研修スライドの図解5点</t>
        </is>
      </c>
      <c r="C2" s="5" t="n"/>
      <c r="D2" s="5" t="n"/>
      <c r="E2" s="2" t="inlineStr">
        <is>
          <t>要確認</t>
        </is>
      </c>
      <c r="F2" s="2" t="inlineStr">
        <is>
          <t>未設定</t>
        </is>
      </c>
      <c r="G2" s="2" t="n"/>
      <c r="H2" s="2" t="inlineStr">
        <is>
          <t>要相談</t>
        </is>
      </c>
      <c r="I2" s="5" t="n"/>
      <c r="J2" s="5" t="n"/>
      <c r="K2" s="2" t="n"/>
      <c r="L2" s="5" t="n"/>
      <c r="M2" s="2" t="n"/>
      <c r="N2" s="2" t="inlineStr">
        <is>
          <t>支払完了日は案件管理シートにも反映する。報酬は未設定。</t>
        </is>
      </c>
    </row>
    <row r="3" ht="48" customHeight="1">
      <c r="A3" s="2" t="inlineStr">
        <is>
          <t>DEMO-002</t>
        </is>
      </c>
      <c r="B3" s="2" t="inlineStr">
        <is>
          <t>告知用図解2点</t>
        </is>
      </c>
      <c r="C3" s="5" t="n"/>
      <c r="D3" s="5" t="n"/>
      <c r="E3" s="2" t="inlineStr">
        <is>
          <t>要確認</t>
        </is>
      </c>
      <c r="F3" s="2" t="inlineStr">
        <is>
          <t>未設定</t>
        </is>
      </c>
      <c r="G3" s="2" t="n"/>
      <c r="H3" s="2" t="inlineStr">
        <is>
          <t>要相談</t>
        </is>
      </c>
      <c r="I3" s="5" t="n"/>
      <c r="J3" s="5" t="n"/>
      <c r="K3" s="2" t="n"/>
      <c r="L3" s="5" t="n"/>
      <c r="M3" s="2" t="n"/>
      <c r="N3" s="2" t="inlineStr">
        <is>
          <t>支払完了日は案件管理シートにも反映する。報酬は未設定。</t>
        </is>
      </c>
    </row>
    <row r="4" ht="48" customHeight="1">
      <c r="A4" s="2" t="inlineStr">
        <is>
          <t>DEMO-003</t>
        </is>
      </c>
      <c r="B4" s="2" t="inlineStr">
        <is>
          <t>サービス紹介スライド8枚</t>
        </is>
      </c>
      <c r="C4" s="5" t="n"/>
      <c r="D4" s="5" t="n"/>
      <c r="E4" s="2" t="inlineStr">
        <is>
          <t>要確認</t>
        </is>
      </c>
      <c r="F4" s="2" t="inlineStr">
        <is>
          <t>未設定</t>
        </is>
      </c>
      <c r="G4" s="2" t="n"/>
      <c r="H4" s="2" t="inlineStr">
        <is>
          <t>要相談</t>
        </is>
      </c>
      <c r="I4" s="5" t="n"/>
      <c r="J4" s="5" t="n"/>
      <c r="K4" s="2" t="n"/>
      <c r="L4" s="5" t="n"/>
      <c r="M4" s="2" t="n"/>
      <c r="N4" s="2" t="inlineStr">
        <is>
          <t>支払完了日は案件管理シートにも反映する。報酬は未設定。</t>
        </is>
      </c>
    </row>
    <row r="5" ht="48" customHeight="1">
      <c r="A5" s="2" t="inlineStr">
        <is>
          <t>DEMO-004</t>
        </is>
      </c>
      <c r="B5" s="2" t="inlineStr">
        <is>
          <t>記録の図解3点</t>
        </is>
      </c>
      <c r="C5" s="5" t="n"/>
      <c r="D5" s="5" t="n"/>
      <c r="E5" s="2" t="inlineStr">
        <is>
          <t>要確認</t>
        </is>
      </c>
      <c r="F5" s="2" t="inlineStr">
        <is>
          <t>未設定</t>
        </is>
      </c>
      <c r="G5" s="2" t="n"/>
      <c r="H5" s="2" t="inlineStr">
        <is>
          <t>要相談</t>
        </is>
      </c>
      <c r="I5" s="5" t="n"/>
      <c r="J5" s="5" t="n"/>
      <c r="K5" s="2" t="n"/>
      <c r="L5" s="5" t="n"/>
      <c r="M5" s="2" t="n"/>
      <c r="N5" s="2" t="inlineStr">
        <is>
          <t>支払完了日は案件管理シートにも反映する。報酬は未設定。</t>
        </is>
      </c>
    </row>
    <row r="6" ht="48" customHeight="1">
      <c r="A6" s="2" t="inlineStr">
        <is>
          <t>DEMO-005</t>
        </is>
      </c>
      <c r="B6" s="2" t="inlineStr">
        <is>
          <t>業務フロー図4点</t>
        </is>
      </c>
      <c r="C6" s="5" t="n"/>
      <c r="D6" s="5" t="n"/>
      <c r="E6" s="2" t="inlineStr">
        <is>
          <t>要確認</t>
        </is>
      </c>
      <c r="F6" s="2" t="inlineStr">
        <is>
          <t>未設定</t>
        </is>
      </c>
      <c r="G6" s="2" t="n"/>
      <c r="H6" s="2" t="inlineStr">
        <is>
          <t>要相談</t>
        </is>
      </c>
      <c r="I6" s="5" t="n">
        <v>46336</v>
      </c>
      <c r="J6" s="5" t="n"/>
      <c r="K6" s="2" t="n"/>
      <c r="L6" s="5" t="n"/>
      <c r="M6" s="2" t="n"/>
      <c r="N6" s="2" t="inlineStr">
        <is>
          <t>支払完了日は案件管理シートにも反映する。報酬は未設定。</t>
        </is>
      </c>
    </row>
    <row r="7" ht="48" customHeight="1">
      <c r="A7" s="2" t="inlineStr">
        <is>
          <t>DEMO-006</t>
        </is>
      </c>
      <c r="B7" s="2" t="inlineStr">
        <is>
          <t>インフォグラフィック3点</t>
        </is>
      </c>
      <c r="C7" s="5" t="n">
        <v>46303</v>
      </c>
      <c r="D7" s="5" t="n"/>
      <c r="E7" s="2" t="inlineStr">
        <is>
          <t>要確認</t>
        </is>
      </c>
      <c r="F7" s="2" t="inlineStr">
        <is>
          <t>未設定</t>
        </is>
      </c>
      <c r="G7" s="2" t="n"/>
      <c r="H7" s="2" t="inlineStr">
        <is>
          <t>要相談</t>
        </is>
      </c>
      <c r="I7" s="5" t="n">
        <v>46331</v>
      </c>
      <c r="J7" s="5" t="n"/>
      <c r="K7" s="2" t="n"/>
      <c r="L7" s="5" t="n"/>
      <c r="M7" s="2" t="n"/>
      <c r="N7" s="2" t="inlineStr">
        <is>
          <t>支払完了日は案件管理シートにも反映する。報酬は未設定。</t>
        </is>
      </c>
    </row>
    <row r="8" ht="48" customHeight="1">
      <c r="A8" s="2" t="inlineStr">
        <is>
          <t>DEMO-007</t>
        </is>
      </c>
      <c r="B8" s="2" t="inlineStr">
        <is>
          <t>リーフレット用図解2点</t>
        </is>
      </c>
      <c r="C8" s="5" t="n">
        <v>46284</v>
      </c>
      <c r="D8" s="5" t="n">
        <v>46287</v>
      </c>
      <c r="E8" s="2" t="inlineStr">
        <is>
          <t>要確認</t>
        </is>
      </c>
      <c r="F8" s="2" t="inlineStr">
        <is>
          <t>未設定</t>
        </is>
      </c>
      <c r="G8" s="2" t="n"/>
      <c r="H8" s="2" t="inlineStr">
        <is>
          <t>要相談</t>
        </is>
      </c>
      <c r="I8" s="5" t="n">
        <v>46300</v>
      </c>
      <c r="J8" s="5" t="n">
        <v>46297</v>
      </c>
      <c r="K8" s="2" t="n"/>
      <c r="L8" s="5" t="n">
        <v>46300</v>
      </c>
      <c r="M8" s="2" t="n"/>
      <c r="N8" s="2" t="inlineStr">
        <is>
          <t>支払完了日は案件管理シートにも反映する。報酬は未設定。</t>
        </is>
      </c>
    </row>
  </sheetData>
  <autoFilter ref="A1:N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39" customWidth="1" min="3" max="3"/>
    <col width="17" customWidth="1" min="4" max="4"/>
    <col width="17" customWidth="1" min="5" max="5"/>
    <col width="29.9" customWidth="1" min="6" max="6"/>
  </cols>
  <sheetData>
    <row r="1" ht="32" customHeight="1">
      <c r="A1" s="1" t="inlineStr">
        <is>
          <t>フォーム</t>
        </is>
      </c>
      <c r="B1" s="1" t="inlineStr">
        <is>
          <t>区分</t>
        </is>
      </c>
      <c r="C1" s="1" t="inlineStr">
        <is>
          <t>質問・掲載内容</t>
        </is>
      </c>
      <c r="D1" s="1" t="inlineStr">
        <is>
          <t>形式</t>
        </is>
      </c>
      <c r="E1" s="1" t="inlineStr">
        <is>
          <t>必須・任意</t>
        </is>
      </c>
      <c r="F1" s="1" t="inlineStr">
        <is>
          <t>補足</t>
        </is>
      </c>
    </row>
    <row r="2" ht="48" customHeight="1">
      <c r="A2" s="2" t="inlineStr">
        <is>
          <t>②応募</t>
        </is>
      </c>
      <c r="B2" s="2" t="inlineStr">
        <is>
          <t>説明</t>
        </is>
      </c>
      <c r="C2" s="2" t="inlineStr">
        <is>
          <t>案件ID・仕事内容・成果物・必要スキル・予算・納期・募集締切</t>
        </is>
      </c>
      <c r="D2" s="2" t="inlineStr">
        <is>
          <t>説明文</t>
        </is>
      </c>
      <c r="E2" s="2" t="inlineStr">
        <is>
          <t>掲載</t>
        </is>
      </c>
      <c r="F2" s="2" t="inlineStr">
        <is>
          <t>①の確定条件を転記。税・費用・支払条件も確認。</t>
        </is>
      </c>
    </row>
    <row r="3" ht="48" customHeight="1">
      <c r="A3" s="2" t="inlineStr">
        <is>
          <t>②応募</t>
        </is>
      </c>
      <c r="B3" s="2" t="inlineStr">
        <is>
          <t>質問</t>
        </is>
      </c>
      <c r="C3" s="2" t="inlineStr">
        <is>
          <t>応募する案件ID</t>
        </is>
      </c>
      <c r="D3" s="2" t="inlineStr">
        <is>
          <t>選択式</t>
        </is>
      </c>
      <c r="E3" s="2" t="inlineStr">
        <is>
          <t>必須</t>
        </is>
      </c>
      <c r="F3" s="2" t="inlineStr">
        <is>
          <t>案件ごとにフォームを分ける場合は固定。</t>
        </is>
      </c>
    </row>
    <row r="4" ht="48" customHeight="1">
      <c r="A4" s="2" t="inlineStr">
        <is>
          <t>②応募</t>
        </is>
      </c>
      <c r="B4" s="2" t="inlineStr">
        <is>
          <t>質問</t>
        </is>
      </c>
      <c r="C4" s="2" t="inlineStr">
        <is>
          <t>氏名・連絡先</t>
        </is>
      </c>
      <c r="D4" s="2" t="inlineStr">
        <is>
          <t>記述式</t>
        </is>
      </c>
      <c r="E4" s="2" t="inlineStr">
        <is>
          <t>必須</t>
        </is>
      </c>
      <c r="F4" s="2" t="inlineStr">
        <is>
          <t>実運用時のみ。利用目的と共有範囲を説明。</t>
        </is>
      </c>
    </row>
    <row r="5" ht="48" customHeight="1">
      <c r="A5" s="2" t="inlineStr">
        <is>
          <t>②応募</t>
        </is>
      </c>
      <c r="B5" s="2" t="inlineStr">
        <is>
          <t>質問</t>
        </is>
      </c>
      <c r="C5" s="2" t="inlineStr">
        <is>
          <t>応募理由</t>
        </is>
      </c>
      <c r="D5" s="2" t="inlineStr">
        <is>
          <t>段落</t>
        </is>
      </c>
      <c r="E5" s="2" t="inlineStr">
        <is>
          <t>必須</t>
        </is>
      </c>
      <c r="F5" s="2" t="inlineStr">
        <is>
          <t>興味と意向を確認。</t>
        </is>
      </c>
    </row>
    <row r="6" ht="48" customHeight="1">
      <c r="A6" s="2" t="inlineStr">
        <is>
          <t>②応募</t>
        </is>
      </c>
      <c r="B6" s="2" t="inlineStr">
        <is>
          <t>質問</t>
        </is>
      </c>
      <c r="C6" s="2" t="inlineStr">
        <is>
          <t>経験・得意分野・参考作品</t>
        </is>
      </c>
      <c r="D6" s="2" t="inlineStr">
        <is>
          <t>段落</t>
        </is>
      </c>
      <c r="E6" s="2" t="inlineStr">
        <is>
          <t>任意</t>
        </is>
      </c>
      <c r="F6" s="2" t="inlineStr">
        <is>
          <t>初めての人も回答できる形に。</t>
        </is>
      </c>
    </row>
    <row r="7" ht="48" customHeight="1">
      <c r="A7" s="2" t="inlineStr">
        <is>
          <t>②応募</t>
        </is>
      </c>
      <c r="B7" s="2" t="inlineStr">
        <is>
          <t>質問</t>
        </is>
      </c>
      <c r="C7" s="2" t="inlineStr">
        <is>
          <t>開始可能日・週あたり対応可能時間</t>
        </is>
      </c>
      <c r="D7" s="2" t="inlineStr">
        <is>
          <t>日付・数値</t>
        </is>
      </c>
      <c r="E7" s="2" t="inlineStr">
        <is>
          <t>必須</t>
        </is>
      </c>
      <c r="F7" s="2" t="inlineStr">
        <is>
          <t>他の仕事を含めた余力。</t>
        </is>
      </c>
    </row>
    <row r="8" ht="48" customHeight="1">
      <c r="A8" s="2" t="inlineStr">
        <is>
          <t>②応募</t>
        </is>
      </c>
      <c r="B8" s="2" t="inlineStr">
        <is>
          <t>質問</t>
        </is>
      </c>
      <c r="C8" s="2" t="inlineStr">
        <is>
          <t>確認したいこと</t>
        </is>
      </c>
      <c r="D8" s="2" t="inlineStr">
        <is>
          <t>段落</t>
        </is>
      </c>
      <c r="E8" s="2" t="inlineStr">
        <is>
          <t>任意</t>
        </is>
      </c>
      <c r="F8" s="2" t="inlineStr">
        <is>
          <t>不安や条件を拾う。</t>
        </is>
      </c>
    </row>
    <row r="9" ht="48" customHeight="1">
      <c r="A9" s="2" t="inlineStr">
        <is>
          <t>②応募</t>
        </is>
      </c>
      <c r="B9" s="2" t="inlineStr">
        <is>
          <t>確認</t>
        </is>
      </c>
      <c r="C9" s="2" t="inlineStr">
        <is>
          <t>案件条件を確認した・応募は採用を保証しない</t>
        </is>
      </c>
      <c r="D9" s="2" t="inlineStr">
        <is>
          <t>チェック</t>
        </is>
      </c>
      <c r="E9" s="2" t="inlineStr">
        <is>
          <t>必須</t>
        </is>
      </c>
      <c r="F9" s="2" t="inlineStr">
        <is>
          <t>実運用では個人情報の扱いも説明。</t>
        </is>
      </c>
    </row>
    <row r="10" ht="48" customHeight="1">
      <c r="A10" s="2" t="inlineStr">
        <is>
          <t>⑥空き状況</t>
        </is>
      </c>
      <c r="B10" s="2" t="inlineStr">
        <is>
          <t>質問</t>
        </is>
      </c>
      <c r="C10" s="2" t="inlineStr">
        <is>
          <t>氏名・連絡先</t>
        </is>
      </c>
      <c r="D10" s="2" t="inlineStr">
        <is>
          <t>記述式</t>
        </is>
      </c>
      <c r="E10" s="2" t="inlineStr">
        <is>
          <t>必須</t>
        </is>
      </c>
      <c r="F10" s="2" t="inlineStr">
        <is>
          <t>既存の人材IDとの照合を検討。</t>
        </is>
      </c>
    </row>
    <row r="11" ht="48" customHeight="1">
      <c r="A11" s="2" t="inlineStr">
        <is>
          <t>⑥空き状況</t>
        </is>
      </c>
      <c r="B11" s="2" t="inlineStr">
        <is>
          <t>質問</t>
        </is>
      </c>
      <c r="C11" s="2" t="inlineStr">
        <is>
          <t>回答日</t>
        </is>
      </c>
      <c r="D11" s="2" t="inlineStr">
        <is>
          <t>日付または自動記録</t>
        </is>
      </c>
      <c r="E11" s="2" t="inlineStr">
        <is>
          <t>必須</t>
        </is>
      </c>
      <c r="F11" s="2" t="inlineStr">
        <is>
          <t>鮮度を把握。</t>
        </is>
      </c>
    </row>
    <row r="12" ht="48" customHeight="1">
      <c r="A12" s="2" t="inlineStr">
        <is>
          <t>⑥空き状況</t>
        </is>
      </c>
      <c r="B12" s="2" t="inlineStr">
        <is>
          <t>質問</t>
        </is>
      </c>
      <c r="C12" s="2" t="inlineStr">
        <is>
          <t>週あたりの空き時間・開始可能日</t>
        </is>
      </c>
      <c r="D12" s="2" t="inlineStr">
        <is>
          <t>数値・日付</t>
        </is>
      </c>
      <c r="E12" s="2" t="inlineStr">
        <is>
          <t>必須</t>
        </is>
      </c>
      <c r="F12" s="2" t="inlineStr">
        <is>
          <t>他の仕事の詳細は不要。</t>
        </is>
      </c>
    </row>
    <row r="13" ht="48" customHeight="1">
      <c r="A13" s="2" t="inlineStr">
        <is>
          <t>⑥空き状況</t>
        </is>
      </c>
      <c r="B13" s="2" t="inlineStr">
        <is>
          <t>質問</t>
        </is>
      </c>
      <c r="C13" s="2" t="inlineStr">
        <is>
          <t>希望する案件・得意なこと</t>
        </is>
      </c>
      <c r="D13" s="2" t="inlineStr">
        <is>
          <t>段落</t>
        </is>
      </c>
      <c r="E13" s="2" t="inlineStr">
        <is>
          <t>任意</t>
        </is>
      </c>
      <c r="F13" s="2" t="inlineStr">
        <is>
          <t>個別紹介に活用。</t>
        </is>
      </c>
    </row>
    <row r="14" ht="48" customHeight="1">
      <c r="A14" s="2" t="inlineStr">
        <is>
          <t>⑥空き状況</t>
        </is>
      </c>
      <c r="B14" s="2" t="inlineStr">
        <is>
          <t>質問</t>
        </is>
      </c>
      <c r="C14" s="2" t="inlineStr">
        <is>
          <t>次に空く予定・確認したいこと</t>
        </is>
      </c>
      <c r="D14" s="2" t="inlineStr">
        <is>
          <t>段落</t>
        </is>
      </c>
      <c r="E14" s="2" t="inlineStr">
        <is>
          <t>任意</t>
        </is>
      </c>
      <c r="F14" s="2" t="inlineStr">
        <is>
          <t>紹介前に再確認。</t>
        </is>
      </c>
    </row>
  </sheetData>
  <autoFilter ref="A1:F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2026-10-10T08:46:54Z</dcterms:created>
  <dcterms:modified xmlns:dcterms="http://purl.org/dc/terms/" xmlns:xsi="http://www.w3.org/2001/XMLSchema-instance" xsi:type="dcterms:W3CDTF">2026-10-10T08:47:43Z</dcterms:modified>
</cp:coreProperties>
</file>